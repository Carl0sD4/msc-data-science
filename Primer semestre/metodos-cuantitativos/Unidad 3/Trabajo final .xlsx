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campo/msc-data-science/metodos-cuantitativos/Unidad 3/"/>
    </mc:Choice>
  </mc:AlternateContent>
  <xr:revisionPtr revIDLastSave="0" documentId="8_{11FECC70-00B7-E546-9829-841ABA29CC21}" xr6:coauthVersionLast="47" xr6:coauthVersionMax="47" xr10:uidLastSave="{00000000-0000-0000-0000-000000000000}"/>
  <bookViews>
    <workbookView xWindow="80" yWindow="860" windowWidth="21400" windowHeight="20740" activeTab="1" xr2:uid="{29D08951-9F73-DF47-B830-C8E60D61B70F}"/>
  </bookViews>
  <sheets>
    <sheet name="Sheet1" sheetId="1" r:id="rId1"/>
    <sheet name="Sheet2" sheetId="2" r:id="rId2"/>
  </sheets>
  <definedNames>
    <definedName name="solver_adj" localSheetId="0" hidden="1">Sheet1!$A$2:$C$2</definedName>
    <definedName name="solver_adj" localSheetId="1" hidden="1">Sheet2!$A$2:$B$2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Sheet1!$A$2</definedName>
    <definedName name="solver_lhs1" localSheetId="1" hidden="1">Sheet2!$A$2</definedName>
    <definedName name="solver_lhs2" localSheetId="0" hidden="1">Sheet1!$B$2</definedName>
    <definedName name="solver_lhs2" localSheetId="1" hidden="1">Sheet2!$B$2</definedName>
    <definedName name="solver_lhs3" localSheetId="0" hidden="1">Sheet1!$C$2</definedName>
    <definedName name="solver_lhs3" localSheetId="1" hidden="1">Sheet2!$D$2</definedName>
    <definedName name="solver_lhs4" localSheetId="0" hidden="1">Sheet1!$E$2</definedName>
    <definedName name="solver_lhs5" localSheetId="0" hidden="1">Sheet1!$F$2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5</definedName>
    <definedName name="solver_num" localSheetId="1" hidden="1">3</definedName>
    <definedName name="solver_opt" localSheetId="0" hidden="1">Sheet1!$D$2</definedName>
    <definedName name="solver_opt" localSheetId="1" hidden="1">Sheet2!$C$2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3</definedName>
    <definedName name="solver_rel2" localSheetId="0" hidden="1">3</definedName>
    <definedName name="solver_rel2" localSheetId="1" hidden="1">3</definedName>
    <definedName name="solver_rel3" localSheetId="0" hidden="1">3</definedName>
    <definedName name="solver_rel3" localSheetId="1" hidden="1">2</definedName>
    <definedName name="solver_rel4" localSheetId="0" hidden="1">2</definedName>
    <definedName name="solver_rel5" localSheetId="0" hidden="1">2</definedName>
    <definedName name="solver_rhs1" localSheetId="0" hidden="1">0</definedName>
    <definedName name="solver_rhs1" localSheetId="1" hidden="1">0</definedName>
    <definedName name="solver_rhs2" localSheetId="0" hidden="1">0</definedName>
    <definedName name="solver_rhs2" localSheetId="1" hidden="1">0</definedName>
    <definedName name="solver_rhs3" localSheetId="0" hidden="1">0</definedName>
    <definedName name="solver_rhs3" localSheetId="1" hidden="1">6</definedName>
    <definedName name="solver_rhs4" localSheetId="0" hidden="1">20</definedName>
    <definedName name="solver_rhs5" localSheetId="0" hidden="1">20</definedName>
    <definedName name="solver_rlx" localSheetId="0" hidden="1">1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C20" i="2"/>
  <c r="C2" i="2" s="1"/>
  <c r="D2" i="2"/>
  <c r="F12" i="1"/>
  <c r="E12" i="1"/>
  <c r="D12" i="1"/>
  <c r="F2" i="1"/>
  <c r="E2" i="1"/>
  <c r="D2" i="1"/>
</calcChain>
</file>

<file path=xl/sharedStrings.xml><?xml version="1.0" encoding="utf-8"?>
<sst xmlns="http://schemas.openxmlformats.org/spreadsheetml/2006/main" count="20" uniqueCount="8">
  <si>
    <t>x</t>
  </si>
  <si>
    <t>y</t>
  </si>
  <si>
    <t>z</t>
  </si>
  <si>
    <t>B(x,y,z)</t>
  </si>
  <si>
    <t>x+y</t>
  </si>
  <si>
    <t>y+z</t>
  </si>
  <si>
    <t>g((x,y)</t>
  </si>
  <si>
    <t>x +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</si>
</sst>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15</xdr:row>
      <xdr:rowOff>101600</xdr:rowOff>
    </xdr:from>
    <xdr:to>
      <xdr:col>15</xdr:col>
      <xdr:colOff>254000</xdr:colOff>
      <xdr:row>41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778FF8-B71B-F38B-BE19-16730DF840B1}"/>
            </a:ext>
          </a:extLst>
        </xdr:cNvPr>
        <xdr:cNvSpPr txBox="1"/>
      </xdr:nvSpPr>
      <xdr:spPr>
        <a:xfrm>
          <a:off x="8559800" y="3149600"/>
          <a:ext cx="4076700" cy="529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Anuncio con</a:t>
          </a:r>
          <a:r>
            <a:rPr lang="en-US" sz="1100" baseline="0"/>
            <a:t> espacio:</a:t>
          </a:r>
        </a:p>
        <a:p>
          <a:endParaRPr lang="en-US" sz="1100" baseline="0"/>
        </a:p>
        <a:p>
          <a:r>
            <a:rPr lang="en-US" sz="1100" baseline="0"/>
            <a:t>X usa x unidades de espacio.</a:t>
          </a:r>
        </a:p>
        <a:p>
          <a:r>
            <a:rPr lang="en-US" sz="1100" baseline="0"/>
            <a:t>Y usa y unidades de espacio. </a:t>
          </a:r>
        </a:p>
        <a:p>
          <a:r>
            <a:rPr lang="en-US" sz="1100" baseline="0"/>
            <a:t>Z usa z unidades de espacio. </a:t>
          </a:r>
        </a:p>
        <a:p>
          <a:endParaRPr lang="en-US" sz="1100" baseline="0"/>
        </a:p>
        <a:p>
          <a:r>
            <a:rPr lang="en-US" sz="1100" baseline="0"/>
            <a:t>Efecto negativo de la publicidad:</a:t>
          </a:r>
        </a:p>
        <a:p>
          <a:endParaRPr lang="en-US" sz="1100" baseline="0"/>
        </a:p>
        <a:p>
          <a:r>
            <a:rPr lang="en-US" sz="1100" baseline="0"/>
            <a:t>B(x,y,z) = X^2 + Y^2 + 2Z^2</a:t>
          </a:r>
        </a:p>
        <a:p>
          <a:endParaRPr lang="en-US" sz="1100" baseline="0"/>
        </a:p>
        <a:p>
          <a:r>
            <a:rPr lang="en-US" sz="1100" baseline="0"/>
            <a:t>Condiciones del problema:</a:t>
          </a:r>
        </a:p>
        <a:p>
          <a:r>
            <a:rPr lang="en-US" sz="1100" baseline="0"/>
            <a:t>1)</a:t>
          </a:r>
        </a:p>
        <a:p>
          <a:r>
            <a:rPr lang="en-US" sz="1100" baseline="0"/>
            <a:t>x + z = 20</a:t>
          </a:r>
        </a:p>
        <a:p>
          <a:r>
            <a:rPr lang="en-US" sz="1100" baseline="0"/>
            <a:t>2)</a:t>
          </a:r>
        </a:p>
        <a:p>
          <a:r>
            <a:rPr lang="en-US" sz="1100" baseline="0"/>
            <a:t>y + z =20</a:t>
          </a:r>
        </a:p>
        <a:p>
          <a:endParaRPr lang="en-US" sz="1100" baseline="0"/>
        </a:p>
        <a:p>
          <a:r>
            <a:rPr lang="en-US" sz="1100" baseline="0"/>
            <a:t>Se usa solver en Excel para resolver el problema: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se colocan los valores iniciales de x, y, z   y en B(x,y,z) se procede a usar la formula =A12^2+B12^2+2*C12^2 (la misma que es dada en el ejercicio)  y se anaden las condiciones que se nos da en el prblema: =A12+B12 (x+y) mientras que  =B12+C12  (y+z).</a:t>
          </a:r>
        </a:p>
        <a:p>
          <a:endParaRPr lang="en-US" sz="1100" baseline="0"/>
        </a:p>
        <a:p>
          <a:r>
            <a:rPr lang="en-US" sz="1100" baseline="0"/>
            <a:t>despues de esto se se procede a usar solver para encontrar los resultados de las variables teniendo en cuenta las condiciones.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21</xdr:row>
      <xdr:rowOff>177800</xdr:rowOff>
    </xdr:from>
    <xdr:to>
      <xdr:col>10</xdr:col>
      <xdr:colOff>127000</xdr:colOff>
      <xdr:row>44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E0F49-B1F6-32B2-2372-C2E6A19868CE}"/>
            </a:ext>
          </a:extLst>
        </xdr:cNvPr>
        <xdr:cNvSpPr txBox="1"/>
      </xdr:nvSpPr>
      <xdr:spPr>
        <a:xfrm>
          <a:off x="812800" y="4445000"/>
          <a:ext cx="7569200" cy="458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presupuesto</a:t>
          </a:r>
          <a:r>
            <a:rPr lang="en-US" sz="1100" baseline="0"/>
            <a:t> total: 6000</a:t>
          </a:r>
        </a:p>
        <a:p>
          <a:r>
            <a:rPr lang="en-US" sz="1100" baseline="0"/>
            <a:t>x: miles de euros en desarrollo. </a:t>
          </a:r>
        </a:p>
        <a:p>
          <a:r>
            <a:rPr lang="en-US" sz="1100" baseline="0"/>
            <a:t>y: miles de euros en promocion </a:t>
          </a:r>
        </a:p>
        <a:p>
          <a:endParaRPr lang="en-US" sz="1100" baseline="0"/>
        </a:p>
        <a:p>
          <a:r>
            <a:rPr lang="en-US" sz="1100" baseline="0"/>
            <a:t>simplificamos debido a que x y y deben estar en miles, la restriccion es:</a:t>
          </a:r>
        </a:p>
        <a:p>
          <a:endParaRPr lang="en-US" sz="1100" baseline="0"/>
        </a:p>
        <a:p>
          <a:r>
            <a:rPr lang="en-US" sz="1100" baseline="0"/>
            <a:t>x + y = 6</a:t>
          </a:r>
        </a:p>
        <a:p>
          <a:endParaRPr lang="en-US" sz="1100" baseline="0"/>
        </a:p>
        <a:p>
          <a:r>
            <a:rPr lang="en-US" sz="1100"/>
            <a:t>entonces las ventas aproximadas son</a:t>
          </a:r>
          <a:r>
            <a:rPr lang="en-US" sz="1100" baseline="0"/>
            <a:t>:</a:t>
          </a:r>
        </a:p>
        <a:p>
          <a:r>
            <a:rPr lang="en-US" sz="1100" baseline="0"/>
            <a:t> </a:t>
          </a:r>
        </a:p>
        <a:p>
          <a:r>
            <a:rPr lang="en-US" sz="1100" baseline="0"/>
            <a:t>g(x,y) = 20 √x  √y^3 = 20x^1/2 y^3/2</a:t>
          </a:r>
        </a:p>
        <a:p>
          <a:endParaRPr lang="en-US" sz="1100" baseline="0"/>
        </a:p>
        <a:p>
          <a:r>
            <a:rPr lang="en-US" sz="1100" baseline="0"/>
            <a:t>Procedemos como en el ejercicio anterior,: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le damos valores inciiales a x y y, despues procedemos a escribir la formula dada por el ejercicio =20*SQRT(A20)*(B20^(3/2)) y finalmente en x + y solo ponemos  =A20+B20.</a:t>
          </a:r>
        </a:p>
        <a:p>
          <a:r>
            <a:rPr lang="en-US" sz="1100" baseline="0"/>
            <a:t>Despues aplicamos solver: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Ahi se aplica la restriccion D2 = 6</a:t>
          </a:r>
        </a:p>
        <a:p>
          <a:r>
            <a:rPr lang="en-US" sz="1100" baseline="0"/>
            <a:t>y tambien las restrcciones A2 &gt;= 0</a:t>
          </a:r>
        </a:p>
        <a:p>
          <a:r>
            <a:rPr lang="en-US" sz="1100" baseline="0"/>
            <a:t>y finalmente B2 &gt;= 0</a:t>
          </a:r>
        </a:p>
        <a:p>
          <a:endParaRPr lang="en-US" sz="1100" baseline="0"/>
        </a:p>
        <a:p>
          <a:r>
            <a:rPr lang="en-US" sz="1100" baseline="0"/>
            <a:t>en este orden de ideas, es 1500 de euros para desarrollo y 4500 de euros en promocion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B0ACC9-0A28-6043-B0F0-DABFD35D4C5E}" name="Table1" displayName="Table1" ref="A1:F2" totalsRowShown="0" headerRowDxfId="26" headerRowBorderDxfId="34" tableBorderDxfId="35" totalsRowBorderDxfId="33">
  <autoFilter ref="A1:F2" xr:uid="{14B0ACC9-0A28-6043-B0F0-DABFD35D4C5E}"/>
  <tableColumns count="6">
    <tableColumn id="1" xr3:uid="{34F65F30-DBE5-BE48-ABB7-EF11950B799C}" name="x" dataDxfId="32"/>
    <tableColumn id="2" xr3:uid="{EC1F5C0A-DDE0-F04D-BE1B-909516144C0F}" name="y" dataDxfId="31"/>
    <tableColumn id="3" xr3:uid="{E56D151D-AB8A-744D-8138-1511A37EB1C2}" name="z" dataDxfId="30"/>
    <tableColumn id="4" xr3:uid="{F2F37F12-7AB2-BA46-A420-7117C7FA167C}" name="B(x,y,z)" dataDxfId="29">
      <calculatedColumnFormula>A2^2 + B2^2 + 2*C2^2</calculatedColumnFormula>
    </tableColumn>
    <tableColumn id="5" xr3:uid="{9E046CF8-4000-B147-8C54-89CCE9936D99}" name="x+y" dataDxfId="28">
      <calculatedColumnFormula>A2+B2</calculatedColumnFormula>
    </tableColumn>
    <tableColumn id="6" xr3:uid="{77A9CA81-9A95-E843-9F91-647E09813CD6}" name="y+z" dataDxfId="27">
      <calculatedColumnFormula>B2+C2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A1F434-BAB1-5E4B-B9CD-A4E7552A2FBE}" name="Table2" displayName="Table2" ref="A11:F12" totalsRowShown="0" headerRowDxfId="16" headerRowBorderDxfId="24" tableBorderDxfId="25" totalsRowBorderDxfId="23">
  <autoFilter ref="A11:F12" xr:uid="{3FA1F434-BAB1-5E4B-B9CD-A4E7552A2FBE}"/>
  <tableColumns count="6">
    <tableColumn id="1" xr3:uid="{B5BAAB54-2F80-4C40-8B32-44BB94ABD499}" name="x" dataDxfId="22"/>
    <tableColumn id="2" xr3:uid="{68EAEF5D-5E0B-7F4E-98B0-9A1669F51991}" name="y" dataDxfId="21"/>
    <tableColumn id="3" xr3:uid="{DFD135C3-14B7-FF46-ACAD-42D46544036C}" name="z" dataDxfId="20"/>
    <tableColumn id="4" xr3:uid="{4546F00F-1072-8240-9CBD-5C9D7A5013FC}" name="B(x,y,z)" dataDxfId="19">
      <calculatedColumnFormula>A12^2+B12^2+2*C12^2</calculatedColumnFormula>
    </tableColumn>
    <tableColumn id="5" xr3:uid="{CCB48949-8E84-FB4E-870B-07634B1223BA}" name="x+y" dataDxfId="18">
      <calculatedColumnFormula>A12+B12</calculatedColumnFormula>
    </tableColumn>
    <tableColumn id="6" xr3:uid="{D2E61D40-E988-6348-B432-179F03664A9A}" name="y+z" dataDxfId="17">
      <calculatedColumnFormula>B12+C12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5A26F3-D11C-7D44-9E8A-97F9138F0F8B}" name="Table3" displayName="Table3" ref="A1:D2" totalsRowShown="0" headerRowDxfId="8" headerRowBorderDxfId="14" tableBorderDxfId="15" totalsRowBorderDxfId="13">
  <autoFilter ref="A1:D2" xr:uid="{1D5A26F3-D11C-7D44-9E8A-97F9138F0F8B}"/>
  <tableColumns count="4">
    <tableColumn id="1" xr3:uid="{446D68A0-A3AA-124F-9ABC-39522F5F61F6}" name="x" dataDxfId="12"/>
    <tableColumn id="2" xr3:uid="{531CFE62-F8BD-0B48-881D-978396359D8B}" name="y" dataDxfId="11"/>
    <tableColumn id="3" xr3:uid="{0B0DCA6E-5216-9447-BA2E-E6BBA80B4282}" name="g((x,y)" dataDxfId="10">
      <calculatedColumnFormula>C20</calculatedColumnFormula>
    </tableColumn>
    <tableColumn id="4" xr3:uid="{87F40178-3B28-DD4A-9623-BE0CE1B5CE60}" name="x + y" dataDxfId="9">
      <calculatedColumnFormula>A2 + B2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35A725-829F-3840-B1B4-0B49C22496D3}" name="Table4" displayName="Table4" ref="A19:D20" totalsRowShown="0" headerRowDxfId="0" headerRowBorderDxfId="6" tableBorderDxfId="7" totalsRowBorderDxfId="5">
  <autoFilter ref="A19:D20" xr:uid="{9535A725-829F-3840-B1B4-0B49C22496D3}"/>
  <tableColumns count="4">
    <tableColumn id="1" xr3:uid="{22F2D9C5-FBD4-7043-8463-27A16BCC782C}" name="x" dataDxfId="4"/>
    <tableColumn id="2" xr3:uid="{8AF3F18C-FA78-DD4C-B25F-D8D3FDAA0802}" name="y" dataDxfId="3"/>
    <tableColumn id="3" xr3:uid="{364C893E-6F38-2942-B883-98314537F562}" name="g((x,y)" dataDxfId="2">
      <calculatedColumnFormula>20*SQRT(A20)*(B20^(3/2))</calculatedColumnFormula>
    </tableColumn>
    <tableColumn id="4" xr3:uid="{EAE03B3D-FDFA-4547-997A-80C9BF180D8F}" name="x + y" dataDxfId="1">
      <calculatedColumnFormula>A20+B20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84C0-0042-F046-BF67-E0F6DDCB8DD9}">
  <dimension ref="A1:F12"/>
  <sheetViews>
    <sheetView workbookViewId="0">
      <selection activeCell="E2" sqref="E2"/>
    </sheetView>
  </sheetViews>
  <sheetFormatPr baseColWidth="10" defaultRowHeight="16" x14ac:dyDescent="0.2"/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4">
        <v>5.0000000292699207</v>
      </c>
      <c r="B2" s="5">
        <v>14.999999970730078</v>
      </c>
      <c r="C2" s="5">
        <v>5.0000000292699207</v>
      </c>
      <c r="D2" s="5">
        <f>A2^2 + B2^2 + 2*C2^2</f>
        <v>300</v>
      </c>
      <c r="E2" s="5">
        <f>A2+B2</f>
        <v>20</v>
      </c>
      <c r="F2" s="6">
        <f>B2+C2</f>
        <v>20</v>
      </c>
    </row>
    <row r="11" spans="1:6" x14ac:dyDescent="0.2">
      <c r="A11" s="7" t="s">
        <v>0</v>
      </c>
      <c r="B11" s="8" t="s">
        <v>1</v>
      </c>
      <c r="C11" s="8" t="s">
        <v>2</v>
      </c>
      <c r="D11" s="8" t="s">
        <v>3</v>
      </c>
      <c r="E11" s="8" t="s">
        <v>4</v>
      </c>
      <c r="F11" s="9" t="s">
        <v>5</v>
      </c>
    </row>
    <row r="12" spans="1:6" x14ac:dyDescent="0.2">
      <c r="A12" s="4">
        <v>1</v>
      </c>
      <c r="B12" s="5">
        <v>0</v>
      </c>
      <c r="C12" s="5">
        <v>1</v>
      </c>
      <c r="D12" s="5">
        <f>A12^2+B12^2+2*C12^2</f>
        <v>3</v>
      </c>
      <c r="E12" s="5">
        <f>A12+B12</f>
        <v>1</v>
      </c>
      <c r="F12" s="6">
        <f>B12+C12</f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F996-9353-5E48-BA8C-CA47A0D1314C}">
  <dimension ref="A1:D20"/>
  <sheetViews>
    <sheetView tabSelected="1" workbookViewId="0">
      <selection sqref="A1:D2"/>
    </sheetView>
  </sheetViews>
  <sheetFormatPr baseColWidth="10" defaultRowHeight="16" x14ac:dyDescent="0.2"/>
  <sheetData>
    <row r="1" spans="1:4" x14ac:dyDescent="0.2">
      <c r="A1" s="10" t="s">
        <v>0</v>
      </c>
      <c r="B1" s="11" t="s">
        <v>1</v>
      </c>
      <c r="C1" s="11" t="s">
        <v>6</v>
      </c>
      <c r="D1" s="12" t="s">
        <v>7</v>
      </c>
    </row>
    <row r="2" spans="1:4" x14ac:dyDescent="0.2">
      <c r="A2" s="4">
        <v>1.5000899869169859</v>
      </c>
      <c r="B2" s="5">
        <v>4.4999130130830141</v>
      </c>
      <c r="C2" s="5">
        <f>C20</f>
        <v>56.568542494923797</v>
      </c>
      <c r="D2" s="6">
        <f>A2 + B2</f>
        <v>6.0000029999999995</v>
      </c>
    </row>
    <row r="19" spans="1:4" x14ac:dyDescent="0.2">
      <c r="A19" s="13" t="s">
        <v>0</v>
      </c>
      <c r="B19" s="14" t="s">
        <v>1</v>
      </c>
      <c r="C19" s="14" t="s">
        <v>6</v>
      </c>
      <c r="D19" s="15" t="s">
        <v>7</v>
      </c>
    </row>
    <row r="20" spans="1:4" x14ac:dyDescent="0.2">
      <c r="A20" s="4">
        <v>1</v>
      </c>
      <c r="B20" s="5">
        <v>2</v>
      </c>
      <c r="C20" s="5">
        <f>20*SQRT(A20)*(B20^(3/2))</f>
        <v>56.568542494923797</v>
      </c>
      <c r="D20" s="6">
        <f>A20+B20</f>
        <v>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David Campo Urzola</dc:creator>
  <cp:lastModifiedBy>Carlos David Campo Urzola</cp:lastModifiedBy>
  <dcterms:created xsi:type="dcterms:W3CDTF">2025-12-03T02:28:19Z</dcterms:created>
  <dcterms:modified xsi:type="dcterms:W3CDTF">2025-12-03T04:46:15Z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2025-12-03T04:45:42Z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6d67b60a-85c9-45b2-b0dd-66e4f3fb9099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